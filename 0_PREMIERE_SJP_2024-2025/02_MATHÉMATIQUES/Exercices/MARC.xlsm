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cd7af8b03669c9e/Documents/02_MATHÉMATIQUES/Exercices/"/>
    </mc:Choice>
  </mc:AlternateContent>
  <xr:revisionPtr revIDLastSave="8" documentId="8_{F7E2AA0B-8C05-47C1-86C8-F0486F9DD3F1}" xr6:coauthVersionLast="47" xr6:coauthVersionMax="47" xr10:uidLastSave="{8CDF3067-1C78-41A7-8A07-F0F5A68843CD}"/>
  <bookViews>
    <workbookView xWindow="-120" yWindow="-120" windowWidth="29040" windowHeight="15840" xr2:uid="{F75FC9A6-84FD-4998-8C18-DAF8FF70E81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 a="1"/>
  <c r="I3" i="1" a="1"/>
  <c r="I2" i="1" l="1"/>
  <c r="J2" i="1" s="1"/>
  <c r="I3" i="1"/>
  <c r="J3" i="1" s="1"/>
  <c r="B2" i="1" a="1"/>
  <c r="C2" i="1" a="1"/>
  <c r="C2" i="1" l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<sst xmlns="http://schemas.openxmlformats.org/spreadsheetml/2006/main" count="22" uniqueCount="22">
  <si>
    <t>Point de départ</t>
  </si>
  <si>
    <t>25°N</t>
  </si>
  <si>
    <t>40°O</t>
  </si>
  <si>
    <t>Etape</t>
  </si>
  <si>
    <t>Cap</t>
  </si>
  <si>
    <t>Vitesse</t>
  </si>
  <si>
    <t>Temps</t>
  </si>
  <si>
    <t>16 kn</t>
  </si>
  <si>
    <t>3 jours</t>
  </si>
  <si>
    <t>14 kn</t>
  </si>
  <si>
    <t>J'ai crée la fonction MARC(case) qui renvoie le nombre contenue dans une case.</t>
  </si>
  <si>
    <t>O</t>
  </si>
  <si>
    <t>S</t>
  </si>
  <si>
    <t>MARC(A1)=VALNUM(LEFT(A1;MATCH(TRUE;ISERROR(VALUE(MID(A1;ROW(INDIRECT("1:"&amp;LEN(A1)));1)));0)-1))</t>
  </si>
  <si>
    <t>Distance(kn)</t>
  </si>
  <si>
    <t>Distance(minutes)</t>
  </si>
  <si>
    <t>MARC(16 kn)=16</t>
  </si>
  <si>
    <t>7 jours</t>
  </si>
  <si>
    <t>Arrivée (1mn = 1 minute)</t>
  </si>
  <si>
    <t xml:space="preserve"> Arrivée (Conversion kilomètre)</t>
  </si>
  <si>
    <t>Latitude finale : 14° 7' 50,13" S</t>
  </si>
  <si>
    <t>Longitude finale : 61° 8' 50,44" 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</si>
</sst>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5</xdr:row>
          <xdr:rowOff>66675</xdr:rowOff>
        </xdr:from>
        <xdr:to>
          <xdr:col>1</xdr:col>
          <xdr:colOff>409575</xdr:colOff>
          <xdr:row>11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Calculer avec la conversion en kilomètre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EF5E89-E607-4D8F-B7B8-FB07CC4972F1}" name="Table1" displayName="Table1" ref="E1:J3" totalsRowShown="0">
  <autoFilter ref="E1:J3" xr:uid="{50EF5E89-E607-4D8F-B7B8-FB07CC4972F1}"/>
  <tableColumns count="6">
    <tableColumn id="1" xr3:uid="{299BD298-314F-44BE-89BC-751D0F5D66ED}" name="Etape"/>
    <tableColumn id="2" xr3:uid="{7C92DB1A-01E8-43B0-A55C-3FEB8588D1CC}" name="Cap"/>
    <tableColumn id="3" xr3:uid="{85BB92BE-FEBD-42AF-9B38-ED9BE68D4C5E}" name="Vitesse"/>
    <tableColumn id="4" xr3:uid="{A6F1C300-B745-419F-9477-FADBDBF61F16}" name="Temps"/>
    <tableColumn id="5" xr3:uid="{53193CD5-F116-4D6A-9883-B1C13D305E3C}" name="Distance(kn)" dataDxfId="1">
      <calculatedColumnFormula array="1">MARC(Table1[[#This Row],[Temps]])*MARC(Table1[[#This Row],[Vitesse]])*24*IF(OR(Table1[[#This Row],[Cap]]="O", Table1[[#This Row],[Cap]]="S"),-1,1)</calculatedColumnFormula>
    </tableColumn>
    <tableColumn id="6" xr3:uid="{6D7BC05E-9A88-4720-90A1-9D02EADD5404}" name="Distance(minutes)" dataDxfId="0">
      <calculatedColumnFormula>Table1[[#This Row],[Distance(kn)]]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6747B-FC44-404B-A2B0-D406CCB6ACD4}">
  <sheetPr codeName="Sheet1"/>
  <dimension ref="A1:L10"/>
  <sheetViews>
    <sheetView tabSelected="1" workbookViewId="0">
      <selection activeCell="G11" sqref="G11"/>
    </sheetView>
  </sheetViews>
  <sheetFormatPr defaultRowHeight="15" x14ac:dyDescent="0.25"/>
  <cols>
    <col min="1" max="1" width="28.7109375" customWidth="1"/>
    <col min="2" max="2" width="27.85546875" customWidth="1"/>
    <col min="3" max="3" width="31.42578125" customWidth="1"/>
    <col min="4" max="4" width="3.85546875" customWidth="1"/>
    <col min="5" max="5" width="11" customWidth="1"/>
    <col min="7" max="7" width="9.7109375" customWidth="1"/>
    <col min="9" max="9" width="14" customWidth="1"/>
    <col min="10" max="10" width="19.28515625" customWidth="1"/>
    <col min="11" max="11" width="98.7109375" customWidth="1"/>
    <col min="12" max="12" width="15.140625" customWidth="1"/>
  </cols>
  <sheetData>
    <row r="1" spans="1:12" x14ac:dyDescent="0.25">
      <c r="A1" t="s">
        <v>0</v>
      </c>
      <c r="B1" t="s">
        <v>1</v>
      </c>
      <c r="C1" s="1" t="s">
        <v>2</v>
      </c>
      <c r="E1" t="s">
        <v>3</v>
      </c>
      <c r="F1" t="s">
        <v>4</v>
      </c>
      <c r="G1" t="s">
        <v>5</v>
      </c>
      <c r="H1" t="s">
        <v>6</v>
      </c>
      <c r="I1" t="s">
        <v>14</v>
      </c>
      <c r="J1" t="s">
        <v>15</v>
      </c>
    </row>
    <row r="2" spans="1:12" x14ac:dyDescent="0.25">
      <c r="A2" t="s">
        <v>18</v>
      </c>
      <c r="B2" t="str" cm="1">
        <f t="array" ref="B2">IF(
    INT((MARC(B1)*60+J3)/60)&lt;0,
    INT((MARC(B1)*60+J3)/60)*-1 &amp; "°" &amp; MOD((MARC(B1)*60+J3),60) &amp; " S",
    INT((MARC(B1)*60+J3)/60) &amp; "°" &amp; MOD((MARC(B1)*60+J3),60) &amp; " N"
)</f>
        <v>15°48 S</v>
      </c>
      <c r="C2" t="str" cm="1">
        <f t="array" ref="C2">IF(
    INT((-MARC(C1)*60+J2)/60)&lt;0,
    INT((-MARC(C1)*60+J2)/60)*-1 &amp; "°" &amp; MOD((-MARC(C1)*60+J2),60) &amp; " O",
    INT((-MARC(C1)*60+J2)/60) &amp; "°" &amp; MOD((-MARC(C1)*60+J2),60) &amp; " E"
)</f>
        <v>60°48 O</v>
      </c>
      <c r="E2">
        <v>1</v>
      </c>
      <c r="F2" t="s">
        <v>11</v>
      </c>
      <c r="G2" t="s">
        <v>7</v>
      </c>
      <c r="H2" t="s">
        <v>8</v>
      </c>
      <c r="I2" cm="1">
        <f t="array" ref="I2">MARC(Table1[[#This Row],[Temps]])*MARC(Table1[[#This Row],[Vitesse]])*24*IF(OR(Table1[[#This Row],[Cap]]="O", Table1[[#This Row],[Cap]]="S"),-1,1)</f>
        <v>-1152</v>
      </c>
      <c r="J2">
        <f>Table1[[#This Row],[Distance(kn)]]</f>
        <v>-1152</v>
      </c>
      <c r="K2" s="1"/>
    </row>
    <row r="3" spans="1:12" x14ac:dyDescent="0.25">
      <c r="A3" t="s">
        <v>19</v>
      </c>
      <c r="B3" t="s">
        <v>20</v>
      </c>
      <c r="C3" t="s">
        <v>21</v>
      </c>
      <c r="E3">
        <v>2</v>
      </c>
      <c r="F3" t="s">
        <v>12</v>
      </c>
      <c r="G3" t="s">
        <v>9</v>
      </c>
      <c r="H3" t="s">
        <v>17</v>
      </c>
      <c r="I3" cm="1">
        <f t="array" ref="I3">MARC(Table1[[#This Row],[Temps]])*MARC(Table1[[#This Row],[Vitesse]])*24*IF(OR(Table1[[#This Row],[Cap]]="O", Table1[[#This Row],[Cap]]="S"),-1,1)</f>
        <v>-2352</v>
      </c>
      <c r="J3">
        <f>Table1[[#This Row],[Distance(kn)]]</f>
        <v>-2352</v>
      </c>
    </row>
    <row r="8" spans="1:12" x14ac:dyDescent="0.25">
      <c r="K8" t="s">
        <v>10</v>
      </c>
      <c r="L8" s="1"/>
    </row>
    <row r="9" spans="1:12" x14ac:dyDescent="0.25">
      <c r="K9" s="1" t="s">
        <v>13</v>
      </c>
    </row>
    <row r="10" spans="1:12" x14ac:dyDescent="0.25">
      <c r="K10" s="1" t="s">
        <v>16</v>
      </c>
    </row>
  </sheetData>
  <sheetProtection formatCells="0" formatColumns="0" formatRows="0" sort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fficherResultat">
                <anchor moveWithCells="1" sizeWithCells="1">
                  <from>
                    <xdr:col>0</xdr:col>
                    <xdr:colOff>561975</xdr:colOff>
                    <xdr:row>5</xdr:row>
                    <xdr:rowOff>66675</xdr:rowOff>
                  </from>
                  <to>
                    <xdr:col>1</xdr:col>
                    <xdr:colOff>409575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brunet</dc:creator>
  <cp:lastModifiedBy>marc brunet</cp:lastModifiedBy>
  <dcterms:created xsi:type="dcterms:W3CDTF">2025-01-11T14:52:49Z</dcterms:created>
  <dcterms:modified xsi:type="dcterms:W3CDTF">2025-01-11T17:12:41Z</dcterms:modified>
  <cp:contentStatus/>
</cp:coreProperties>
</file>