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d7af8b03669c9e/Documents/02_MATHÉMATIQUES/"/>
    </mc:Choice>
  </mc:AlternateContent>
  <xr:revisionPtr revIDLastSave="4" documentId="8_{68669359-7A61-4D2F-9D7E-29E45AD4FFDB}" xr6:coauthVersionLast="47" xr6:coauthVersionMax="47" xr10:uidLastSave="{D1CA3C02-9029-44F7-BC0B-E2D5781A2038}"/>
  <bookViews>
    <workbookView xWindow="-108" yWindow="-108" windowWidth="23256" windowHeight="12576" xr2:uid="{509FB5FC-BE56-4CE1-BF60-06B75DA731F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F9" i="1"/>
  <c r="C18" i="1"/>
  <c r="J8" i="1"/>
  <c r="I8" i="1"/>
  <c r="I9" i="1"/>
  <c r="J9" i="1" s="1"/>
  <c r="F10" i="1"/>
  <c r="K9" i="1" l="1"/>
  <c r="C19" i="1" s="1"/>
</calcChain>
</file>

<file path=xl/sharedStrings.xml><?xml version="1.0" encoding="utf-8"?>
<sst xmlns="http://schemas.openxmlformats.org/spreadsheetml/2006/main" count="31" uniqueCount="24">
  <si>
    <t>Départ</t>
  </si>
  <si>
    <t>Latitude</t>
  </si>
  <si>
    <t>°N</t>
  </si>
  <si>
    <t>Longitude</t>
  </si>
  <si>
    <t>°O</t>
  </si>
  <si>
    <t>Calcul</t>
  </si>
  <si>
    <t>Trajet</t>
  </si>
  <si>
    <t>rayon parallèle/méridien</t>
  </si>
  <si>
    <t>Périmètre parallèle/méridien</t>
  </si>
  <si>
    <t>Distance parcourue (en °)</t>
  </si>
  <si>
    <t>Paramètres</t>
  </si>
  <si>
    <t>Vitesse (kn)</t>
  </si>
  <si>
    <t>Temps (jour)</t>
  </si>
  <si>
    <t>Direction</t>
  </si>
  <si>
    <t>Distance (mètres)</t>
  </si>
  <si>
    <t>S</t>
  </si>
  <si>
    <t>t</t>
  </si>
  <si>
    <t>O</t>
  </si>
  <si>
    <t>Constantes</t>
  </si>
  <si>
    <t>Rayon de la Terre</t>
  </si>
  <si>
    <t>km</t>
  </si>
  <si>
    <t>Equivalence mille nautique</t>
  </si>
  <si>
    <t>m</t>
  </si>
  <si>
    <t>Arrivée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</si>
</sst>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quotePrefix="1" applyBorder="1"/>
    <xf numFmtId="0" fontId="0" fillId="0" borderId="0" xfId="0" applyFill="1"/>
    <xf numFmtId="0" fontId="0" fillId="3" borderId="3" xfId="0" applyFill="1" applyBorder="1"/>
    <xf numFmtId="0" fontId="0" fillId="3" borderId="2" xfId="0" applyFill="1" applyBorder="1"/>
    <xf numFmtId="0" fontId="0" fillId="3" borderId="5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9" xfId="0" applyFill="1" applyBorder="1"/>
    <xf numFmtId="0" fontId="0" fillId="0" borderId="3" xfId="0" applyFill="1" applyBorder="1"/>
  </cellXfs>
  <cellStyles count="1">
    <cellStyle name="Normal" xfId="0" builtinId="0"/>
  </cellStyles>
  <dxfs count="10"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C185C-B938-41C6-82F9-5FC5B21000C2}" name="Tableau1" displayName="Tableau1" ref="B8:F10" totalsRowShown="0" headerRowDxfId="9" dataDxfId="8" headerRowBorderDxfId="6" tableBorderDxfId="7" totalsRowBorderDxfId="5">
  <autoFilter ref="B8:F10" xr:uid="{830C185C-B938-41C6-82F9-5FC5B21000C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E3C6B12-95DF-436A-A900-09F5CA4B5321}" name="Paramètres" dataDxfId="4"/>
    <tableColumn id="2" xr3:uid="{96102340-2DD5-4F3A-978A-23FC2021CC54}" name="Vitesse (kn)" dataDxfId="3"/>
    <tableColumn id="3" xr3:uid="{260834BF-579D-4000-8448-EDABEB8333A6}" name="Temps (jour)" dataDxfId="2"/>
    <tableColumn id="4" xr3:uid="{7B3E52CA-0DFE-44D9-AD7A-456745FA2CD8}" name="Direction" dataDxfId="1"/>
    <tableColumn id="5" xr3:uid="{AC20FB2E-6174-4777-9957-76A7C9B84291}" name="Distance (mètres)" dataDxfId="0">
      <calculatedColumnFormula>Tableau1[[#This Row],[Vitesse (kn)]]*Tableau1[[#This Row],[Temps (jour)]]*24*1852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0A62-6BB7-43F5-B907-68364129332B}">
  <dimension ref="B2:K19"/>
  <sheetViews>
    <sheetView tabSelected="1" topLeftCell="F1" zoomScale="85" zoomScaleNormal="85" workbookViewId="0">
      <selection activeCell="F3" sqref="F3"/>
    </sheetView>
  </sheetViews>
  <sheetFormatPr defaultColWidth="11.42578125" defaultRowHeight="14.45"/>
  <cols>
    <col min="2" max="2" width="26.140625" customWidth="1"/>
    <col min="3" max="3" width="16" customWidth="1"/>
    <col min="4" max="4" width="13.7109375" customWidth="1"/>
    <col min="6" max="6" width="24.85546875" customWidth="1"/>
    <col min="9" max="9" width="20.5703125" customWidth="1"/>
    <col min="10" max="10" width="24.7109375" customWidth="1"/>
    <col min="11" max="11" width="23.42578125" customWidth="1"/>
  </cols>
  <sheetData>
    <row r="2" spans="2:11">
      <c r="B2" s="1" t="s">
        <v>0</v>
      </c>
    </row>
    <row r="3" spans="2:11">
      <c r="B3" s="3" t="s">
        <v>1</v>
      </c>
      <c r="C3" s="11">
        <v>25</v>
      </c>
      <c r="D3" s="5" t="s">
        <v>2</v>
      </c>
    </row>
    <row r="4" spans="2:11">
      <c r="B4" s="3" t="s">
        <v>3</v>
      </c>
      <c r="C4" s="12">
        <v>40</v>
      </c>
      <c r="D4" s="7" t="s">
        <v>4</v>
      </c>
    </row>
    <row r="6" spans="2:11">
      <c r="H6" s="1" t="s">
        <v>5</v>
      </c>
      <c r="I6" s="10"/>
    </row>
    <row r="7" spans="2:11">
      <c r="B7" s="1" t="s">
        <v>6</v>
      </c>
      <c r="H7" s="6"/>
      <c r="I7" s="2" t="s">
        <v>7</v>
      </c>
      <c r="J7" s="7" t="s">
        <v>8</v>
      </c>
      <c r="K7" s="2" t="s">
        <v>9</v>
      </c>
    </row>
    <row r="8" spans="2:11">
      <c r="B8" s="14" t="s">
        <v>10</v>
      </c>
      <c r="C8" s="15" t="s">
        <v>11</v>
      </c>
      <c r="D8" s="15" t="s">
        <v>12</v>
      </c>
      <c r="E8" s="15" t="s">
        <v>13</v>
      </c>
      <c r="F8" s="16" t="s">
        <v>14</v>
      </c>
      <c r="H8" s="2" t="s">
        <v>1</v>
      </c>
      <c r="I8" s="2">
        <f>C13</f>
        <v>6371</v>
      </c>
      <c r="J8" s="9">
        <f>2*PI()*I8</f>
        <v>40030.173592041145</v>
      </c>
      <c r="K8" s="2">
        <f>F9*360/(J8*1000)</f>
        <v>39.173585805078226</v>
      </c>
    </row>
    <row r="9" spans="2:11">
      <c r="B9" s="17" t="s">
        <v>1</v>
      </c>
      <c r="C9" s="18">
        <v>14</v>
      </c>
      <c r="D9" s="18">
        <v>7</v>
      </c>
      <c r="E9" s="18" t="s">
        <v>15</v>
      </c>
      <c r="F9" s="19">
        <f>Tableau1[[#This Row],[Vitesse (kn)]]*Tableau1[[#This Row],[Temps (jour)]]*24*1852</f>
        <v>4355904</v>
      </c>
      <c r="H9" s="8" t="s">
        <v>16</v>
      </c>
      <c r="I9" s="8">
        <f>COS(RADIANS(C3))*C13</f>
        <v>5774.0869112104965</v>
      </c>
      <c r="J9" s="9">
        <f>2*PI()*I9</f>
        <v>36279.658042895753</v>
      </c>
      <c r="K9" s="2">
        <f>F10*360/(J9*1000)</f>
        <v>21.170581020688562</v>
      </c>
    </row>
    <row r="10" spans="2:11">
      <c r="B10" s="20" t="s">
        <v>3</v>
      </c>
      <c r="C10" s="21">
        <v>16</v>
      </c>
      <c r="D10" s="21">
        <v>3</v>
      </c>
      <c r="E10" s="21" t="s">
        <v>17</v>
      </c>
      <c r="F10" s="22">
        <f>Tableau1[[#This Row],[Vitesse (kn)]]*Tableau1[[#This Row],[Temps (jour)]]*24*1852</f>
        <v>2133504</v>
      </c>
    </row>
    <row r="12" spans="2:11">
      <c r="B12" s="1" t="s">
        <v>18</v>
      </c>
    </row>
    <row r="13" spans="2:11">
      <c r="B13" s="3" t="s">
        <v>19</v>
      </c>
      <c r="C13" s="12">
        <v>6371</v>
      </c>
      <c r="D13" s="7" t="s">
        <v>20</v>
      </c>
    </row>
    <row r="14" spans="2:11">
      <c r="B14" s="3" t="s">
        <v>21</v>
      </c>
      <c r="C14" s="13">
        <v>1852</v>
      </c>
      <c r="D14" s="6" t="s">
        <v>22</v>
      </c>
    </row>
    <row r="17" spans="2:5">
      <c r="B17" s="1" t="s">
        <v>23</v>
      </c>
      <c r="C17" s="4"/>
      <c r="D17" s="4"/>
      <c r="E17" s="4"/>
    </row>
    <row r="18" spans="2:5">
      <c r="B18" s="2" t="s">
        <v>1</v>
      </c>
      <c r="C18" s="2" t="str">
        <f>INT(ABS(C3-K8)) &amp; "° " &amp; INT((ABS(C3-K8)-INT(ABS(C3-K8)))*60) &amp; "' " &amp; ROUND((((ABS(C3-K8)-INT(ABS(C3-K8)))*60)-INT((ABS(C3-K8)-INT(ABS(C3-K8)))*60))*60, 2) &amp; "''"</f>
        <v>14° 10' 24,91''</v>
      </c>
      <c r="D18" s="2" t="s">
        <v>15</v>
      </c>
    </row>
    <row r="19" spans="2:5">
      <c r="B19" s="2" t="s">
        <v>3</v>
      </c>
      <c r="C19" s="2" t="str">
        <f>INT(ABS(C4+K9)) &amp; "° " &amp; INT((ABS(C4+K9)-INT(ABS(C4+K9)))*60) &amp; "' " &amp; ROUND((((ABS(C4+K9)-INT(ABS(C4+K9)))*60)-INT((ABS(C4+K9)-INT(ABS(C4+K9)))*60))*60, 2) &amp; "''"</f>
        <v>61° 10' 14,09''</v>
      </c>
      <c r="D19" s="2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brunet</dc:creator>
  <cp:keywords/>
  <dc:description/>
  <cp:lastModifiedBy>Mériadec du Couëdic</cp:lastModifiedBy>
  <cp:revision/>
  <dcterms:created xsi:type="dcterms:W3CDTF">2025-01-15T11:43:24Z</dcterms:created>
  <dcterms:modified xsi:type="dcterms:W3CDTF">2025-01-30T22:00:13Z</dcterms:modified>
  <cp:category/>
  <cp:contentStatus/>
</cp:coreProperties>
</file>